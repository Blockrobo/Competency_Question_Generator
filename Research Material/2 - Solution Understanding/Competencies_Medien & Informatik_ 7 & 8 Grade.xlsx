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8" documentId="11_D5FCCBE13342B6EA04F1F5D8C40CDEA7FFBB81B3" xr6:coauthVersionLast="47" xr6:coauthVersionMax="47" xr10:uidLastSave="{399915C0-D808-4035-B875-441246FE6CD5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" l="1"/>
  <c r="C59" i="1"/>
  <c r="C58" i="1"/>
  <c r="A57" i="1"/>
  <c r="A53" i="1"/>
  <c r="A52" i="1"/>
  <c r="C50" i="1"/>
  <c r="C49" i="1"/>
  <c r="C48" i="1"/>
  <c r="C47" i="1"/>
  <c r="C46" i="1"/>
  <c r="C45" i="1"/>
  <c r="A44" i="1"/>
  <c r="C39" i="1"/>
  <c r="C38" i="1"/>
  <c r="A37" i="1"/>
  <c r="C34" i="1"/>
  <c r="C33" i="1"/>
  <c r="C32" i="1"/>
  <c r="C31" i="1"/>
  <c r="C30" i="1"/>
  <c r="A29" i="1"/>
  <c r="A28" i="1"/>
  <c r="C25" i="1"/>
  <c r="C24" i="1"/>
  <c r="A23" i="1"/>
  <c r="C20" i="1"/>
  <c r="C19" i="1"/>
  <c r="C18" i="1"/>
  <c r="A17" i="1"/>
  <c r="C13" i="1"/>
  <c r="C12" i="1"/>
  <c r="A11" i="1"/>
  <c r="C8" i="1"/>
  <c r="C7" i="1"/>
  <c r="C6" i="1"/>
  <c r="A5" i="1"/>
  <c r="A4" i="1"/>
  <c r="A2" i="1"/>
</calcChain>
</file>

<file path=xl/sharedStrings.xml><?xml version="1.0" encoding="utf-8"?>
<sst xmlns="http://schemas.openxmlformats.org/spreadsheetml/2006/main" count="56" uniqueCount="56">
  <si>
    <t>Z3A: 3. Zyklus (7 &amp; 8.Klasse)</t>
  </si>
  <si>
    <t>Deutsche Beschreibung</t>
  </si>
  <si>
    <t>English Description</t>
  </si>
  <si>
    <t>Code</t>
  </si>
  <si>
    <t>SuS können Regeln und Wertesysteme verschiedener Lebenswelten
unterscheiden, reflektieren und entsprechend handeln (z.B. Netiquette,
Werte in virtuellen Welten).</t>
  </si>
  <si>
    <t>SOT-Z3A-MI-Medien-Leben in der Mediengesellschaft.4</t>
  </si>
  <si>
    <t>SuS können Chancen und Risiken der Mediennutzung benennen und
Konsequenzen für das eigene Verhalten ziehen (z.B. Vernetzung,
Kommunikation, Cybermobbing, Schuldenfalle, Suchtpotential).</t>
  </si>
  <si>
    <t>SOT-Z3A-MI-Medien-Leben in der Mediengesellschaft.5</t>
  </si>
  <si>
    <t>SuS können Verflechtungen und Wechselwirkungen zwischen physischer
Umwelt, medialen und virtuellen Lebensräumen erkennen und für das
eigene Verhalten einbeziehen (z.B. soziale Netzwerke und ihre
Konsequenzen im realen Leben).</t>
  </si>
  <si>
    <t>SOT-Z3A-MI-Medien-Leben in der Mediengesellschaft.6</t>
  </si>
  <si>
    <t>SuS erkennen, dass Medien und Medienbeiträge auf Individuen
unterschiedlich wirken.</t>
  </si>
  <si>
    <t>SOT-Z3A-MI-Medien-Medien und Medienbeiträge verstehen.7</t>
  </si>
  <si>
    <t>SuS kennen grundlegende Elemente der Bild-, Film- und Fernsehsprache
und können ihre Funktion und Bedeutung in einem Medienbeitrag
reflektieren.</t>
  </si>
  <si>
    <t>SOT-Z3A-MI-Medien-Medien und Medienbeiträge verstehen.8</t>
  </si>
  <si>
    <t>SuS können Medien nutzen, um ihre Gedanken und ihr Wissen vor
Publikum zu präsentieren und/oder zu veröffentlichen.</t>
  </si>
  <si>
    <t>SOT-Z3A-MI-Medien-Medien und Medienbeiträge produzieren.6</t>
  </si>
  <si>
    <t>SuS können Wirkungen eigener Medienbeiträge einschätzen und bei der
Produktion entsprechend berücksichtigen.</t>
  </si>
  <si>
    <t>SOT-Z3A-MI-Medien-Medien und Medienbeiträge produzieren.7</t>
  </si>
  <si>
    <t>SuS können mit eigenen und fremden Inhalten Medienbeiträge herstellen
und berücksichtigen dabei die rechtlichen Rahmenbedingungen sowie
Sicherheits- und Verhaltensregeln.</t>
  </si>
  <si>
    <t>SOT-Z3A-MI-Medien-Medien und Medienbeiträge produzieren.8</t>
  </si>
  <si>
    <t>SuS können mittels Medien kommunizieren und dabei die Sicherheitsund
Verhaltensregeln befolgen.</t>
  </si>
  <si>
    <t>SOT-Z3A-MI-Medien-Mit Medien kommunizieren und kooperieren.3</t>
  </si>
  <si>
    <t>SuS können Medien gezielt für kooperatives Lernen nutzen.</t>
  </si>
  <si>
    <t>SOT-Z3A-MI-Medien-Mit Medien kommunizieren und kooperieren.4</t>
  </si>
  <si>
    <t>SuS erkennen und verwenden Baum- und Netzstrukturen (z.B.
Ordnerstruktur auf dem Computer, Stammbaum, Mindmap, Website).</t>
  </si>
  <si>
    <t>SOT-Z3A-MI-Informatik-Datenstrukturen.6</t>
  </si>
  <si>
    <t>SuS verstehen die Funktionsweise von fehlererkennenden und -
korrigierenden Codes.</t>
  </si>
  <si>
    <t>SOT-Z3A-MI-Informatik-Datenstrukturen.7</t>
  </si>
  <si>
    <t>SuS können Dokumente so ablegen, dass auch andere sie wieder finden.</t>
  </si>
  <si>
    <t>SOT-Z3A-MI-Informatik-Datenstrukturen.8</t>
  </si>
  <si>
    <t>SuS können logische Operatoren verwenden (und, oder, nicht).</t>
  </si>
  <si>
    <t>SOT-Z3A-MI-Informatik-Datenstrukturen.9</t>
  </si>
  <si>
    <t>SuS können Daten in einer Datenbank strukturieren, erfassen, suchen
und automatisiert auswerten.</t>
  </si>
  <si>
    <t>SOT-Z3A-MI-Informatik-Datenstrukturen.10</t>
  </si>
  <si>
    <t>SuS können selbstentdeckte Lösungswege für einfache Probleme in Form
von lauffähigen und korrekten Computerprogrammen mit Schleifen,
bedingten Anweisungen und Parametern formulieren.</t>
  </si>
  <si>
    <t>SOT-Z3A-MI-Informatik-Algorithmen.6</t>
  </si>
  <si>
    <t>SuS können selbstentwickelte Algorithmen in Form von lauffähigen und
korrekten Computerprogrammen mit Variablen und Unterprogrammen
formulieren.</t>
  </si>
  <si>
    <t>SOT-Z3A-MI-Informatik-Algorithmen.7</t>
  </si>
  <si>
    <t>SuS verstehen die grundsätzliche Funktionsweise von Suchmaschinen.</t>
  </si>
  <si>
    <t>SOT-Z3A-MI-Informatik-Informatiksysteme und Handhabung.9</t>
  </si>
  <si>
    <t>SuS können lokale Geräte, lokales Netzwerk und das Internet als
Speicherorte für private und öffentliche Daten unterscheiden.</t>
  </si>
  <si>
    <t>SOT-Z3A-MI-Informatik-Informatiksysteme und Handhabung.10</t>
  </si>
  <si>
    <t>SuS haben eine Vorstellung von den Leistungseinheiten
informationsverarbeitender Systeme und können deren Relevanz für
konkrete Anwendungen einschätzen (z.B. Speicherkapazität, Bildauflösung,
Rechenkapazität, Datenübertragungsrate).</t>
  </si>
  <si>
    <t>SOT-Z3A-MI-Informatik-Informatiksysteme und Handhabung.11</t>
  </si>
  <si>
    <t>SuS kennen die wesentlichen Eingabe-, Verarbeitungs- und
Ausgabeelemente von Informatiksystemen und können diese mit den
entsprechenden Funktionen von Lebewesen vergleichen (Sensor, Prozessor,
Aktor und Speicher).</t>
  </si>
  <si>
    <t>SOT-Z3A-MI-Informatik-Informatiksysteme und Handhabung.12</t>
  </si>
  <si>
    <t>SuS können das Internet als Infrastruktur von seinen Diensten
unterscheiden (z.B. WWW, E- Mail, Internettelefonie, Soziale Netzwerke).</t>
  </si>
  <si>
    <t>SOT-Z3A-MI-Informatik-Informatiksysteme und Handhabung.13</t>
  </si>
  <si>
    <t>SuS können mit der Tastatur schreiben.</t>
  </si>
  <si>
    <t>SOT-Z3A-MI-Informatik-Informatiksysteme und Handhabung.14</t>
  </si>
  <si>
    <t>SuS können Geräte und Programme gezielt einsetzen und zur Erstellung,
Bearbeitung und Gestaltung von Texten, Tabellen, Präsentationen,
Diagrammen, Bildern, Tönen, Videos und Algorithmen anwenden.</t>
  </si>
  <si>
    <t>SOT-Z3A-MI-Umsetzungskompetenzen-Produktion und Präsentation.4</t>
  </si>
  <si>
    <t>SuS können Medien und Programmfunktionen zur inhaltlichen und
formellen Überarbeitung von Texten nutzen (z.B. Wörterbuch, Korrekturund
Überarbeitungsfunktionen, Internet).</t>
  </si>
  <si>
    <t>SOT-Z3A-MI-Umsetzungskompetenzen-Produktion und Präsentation.5</t>
  </si>
  <si>
    <t>SuS können in Programmen Vorlagen verwenden (z.B. Textverarbeitung,
Präsentationen, Tabellenkalkulation).</t>
  </si>
  <si>
    <t>SOT-Z3A-MI-Umsetzungskompetenzen-Produktion und Präsentation.6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</si>
</sst>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rgb="FFC0E7F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C1" sqref="C1:C1048576"/>
    </sheetView>
  </sheetViews>
  <sheetFormatPr defaultRowHeight="15"/>
  <cols>
    <col min="1" max="1" width="15.5703125" customWidth="1"/>
    <col min="2" max="2" width="30" hidden="1" customWidth="1"/>
    <col min="3" max="3" width="90.28515625" style="17" customWidth="1"/>
    <col min="4" max="4" width="174" customWidth="1"/>
  </cols>
  <sheetData>
    <row r="1" spans="1:4" ht="18">
      <c r="A1" s="1" t="s">
        <v>0</v>
      </c>
      <c r="B1" s="2"/>
      <c r="C1" s="13"/>
      <c r="D1" s="3"/>
    </row>
    <row r="2" spans="1:4">
      <c r="A2" s="4" t="e">
        <f>#REF!</f>
        <v>#REF!</v>
      </c>
      <c r="B2" s="4"/>
      <c r="C2" s="14"/>
      <c r="D2" s="5"/>
    </row>
    <row r="3" spans="1:4">
      <c r="A3" s="4" t="s">
        <v>1</v>
      </c>
      <c r="B3" s="4"/>
      <c r="C3" s="14" t="s">
        <v>2</v>
      </c>
      <c r="D3" s="5" t="s">
        <v>3</v>
      </c>
    </row>
    <row r="4" spans="1:4">
      <c r="A4" s="6" t="e">
        <f>#REF!</f>
        <v>#REF!</v>
      </c>
      <c r="B4" s="6"/>
      <c r="C4" s="15"/>
      <c r="D4" s="7"/>
    </row>
    <row r="5" spans="1:4">
      <c r="A5" s="8" t="e">
        <f>#REF!</f>
        <v>#REF!</v>
      </c>
      <c r="B5" s="8"/>
      <c r="C5" s="16"/>
      <c r="D5" s="9"/>
    </row>
    <row r="6" spans="1:4" ht="35.25">
      <c r="A6" s="10"/>
      <c r="B6" s="11" t="s">
        <v>4</v>
      </c>
      <c r="C6" s="11" t="str">
        <f>_xlfn.TRANSLATE(B6,"de","en")</f>
        <v>Students are able to understand the rules and value systems of different worlds
distinguish, reflect and act accordingly (e.g. netiquette,
Values in Virtual Worlds).</v>
      </c>
      <c r="D6" s="12" t="s">
        <v>5</v>
      </c>
    </row>
    <row r="7" spans="1:4" ht="35.25">
      <c r="A7" s="10"/>
      <c r="B7" s="11" t="s">
        <v>6</v>
      </c>
      <c r="C7" s="11" t="str">
        <f t="shared" ref="C7:C8" si="0">_xlfn.TRANSLATE(B7,"de","en")</f>
        <v>Pupils can name the opportunities and risks of media use and
Draw consequences for one's own behaviour (e.g. networking,
communication, cyberbullying, debt trap, addiction potential).</v>
      </c>
      <c r="D7" s="12" t="s">
        <v>7</v>
      </c>
    </row>
    <row r="8" spans="1:4" ht="46.5">
      <c r="A8" s="10"/>
      <c r="B8" s="11" t="s">
        <v>8</v>
      </c>
      <c r="C8" s="11" t="str">
        <f t="shared" si="0"/>
        <v>Pupils can understand the interdependencies and interactions between physical
environment, media and virtual habitats and for the
own behaviour (e.g. social networks and their
consequences in real life).</v>
      </c>
      <c r="D8" s="12" t="s">
        <v>9</v>
      </c>
    </row>
    <row r="9" spans="1:4">
      <c r="A9" s="10"/>
      <c r="B9" s="11"/>
      <c r="C9" s="11"/>
      <c r="D9" s="12"/>
    </row>
    <row r="10" spans="1:4">
      <c r="A10" s="10"/>
      <c r="B10" s="11"/>
      <c r="C10" s="11"/>
      <c r="D10" s="12"/>
    </row>
    <row r="11" spans="1:4">
      <c r="A11" s="8" t="e">
        <f>#REF!</f>
        <v>#REF!</v>
      </c>
      <c r="B11" s="8"/>
      <c r="C11" s="16"/>
      <c r="D11" s="9"/>
    </row>
    <row r="12" spans="1:4" ht="23.25">
      <c r="A12" s="10"/>
      <c r="B12" s="11" t="s">
        <v>10</v>
      </c>
      <c r="C12" s="11" t="str">
        <f t="shared" ref="C12:C13" si="1">_xlfn.TRANSLATE(B12,"de","en")</f>
        <v>Students recognize that media and media contributions have an impact on individuals
have different effects.</v>
      </c>
      <c r="D12" s="12" t="s">
        <v>11</v>
      </c>
    </row>
    <row r="13" spans="1:4" ht="35.25">
      <c r="A13" s="10"/>
      <c r="B13" s="11" t="s">
        <v>12</v>
      </c>
      <c r="C13" s="11" t="str">
        <f t="shared" si="1"/>
        <v>Students know basic elements of image, film and television language
and can explain their function and meaning in a media article.
reflect.</v>
      </c>
      <c r="D13" s="12" t="s">
        <v>13</v>
      </c>
    </row>
    <row r="14" spans="1:4">
      <c r="A14" s="10"/>
      <c r="B14" s="11"/>
      <c r="C14" s="11"/>
      <c r="D14" s="12"/>
    </row>
    <row r="15" spans="1:4">
      <c r="A15" s="10"/>
      <c r="B15" s="11"/>
      <c r="C15" s="11"/>
      <c r="D15" s="12"/>
    </row>
    <row r="16" spans="1:4">
      <c r="A16" s="10"/>
      <c r="B16" s="11"/>
      <c r="C16" s="11"/>
      <c r="D16" s="12"/>
    </row>
    <row r="17" spans="1:4">
      <c r="A17" s="8" t="e">
        <f>#REF!</f>
        <v>#REF!</v>
      </c>
      <c r="B17" s="8"/>
      <c r="C17" s="16"/>
      <c r="D17" s="9"/>
    </row>
    <row r="18" spans="1:4" ht="23.25">
      <c r="A18" s="10"/>
      <c r="B18" s="11" t="s">
        <v>14</v>
      </c>
      <c r="C18" s="11" t="str">
        <f t="shared" ref="C18:C20" si="2">_xlfn.TRANSLATE(B18,"de","en")</f>
        <v>Pupils can use media to present their thoughts and knowledge
audience.</v>
      </c>
      <c r="D18" s="12" t="s">
        <v>15</v>
      </c>
    </row>
    <row r="19" spans="1:4" ht="23.25">
      <c r="A19" s="10"/>
      <c r="B19" s="11" t="s">
        <v>16</v>
      </c>
      <c r="C19" s="11" t="str">
        <f t="shared" si="2"/>
        <v>Pupils can assess the effects of their own media contributions and evaluate them in the
Consider production accordingly.</v>
      </c>
      <c r="D19" s="12" t="s">
        <v>17</v>
      </c>
    </row>
    <row r="20" spans="1:4" ht="35.25">
      <c r="A20" s="10"/>
      <c r="B20" s="11" t="s">
        <v>18</v>
      </c>
      <c r="C20" s="11" t="str">
        <f t="shared" si="2"/>
        <v>Students can produce media contributions with their own and third-party content
and take into account the legal framework as well as
Safety and Code of Conduct.</v>
      </c>
      <c r="D20" s="12" t="s">
        <v>19</v>
      </c>
    </row>
    <row r="21" spans="1:4">
      <c r="A21" s="10"/>
      <c r="B21" s="11"/>
      <c r="C21" s="11"/>
      <c r="D21" s="12"/>
    </row>
    <row r="22" spans="1:4">
      <c r="A22" s="10"/>
      <c r="B22" s="11"/>
      <c r="C22" s="11"/>
      <c r="D22" s="12"/>
    </row>
    <row r="23" spans="1:4">
      <c r="A23" s="8" t="e">
        <f>#REF!</f>
        <v>#REF!</v>
      </c>
      <c r="B23" s="8"/>
      <c r="C23" s="16"/>
      <c r="D23" s="9"/>
    </row>
    <row r="24" spans="1:4" ht="23.25">
      <c r="A24" s="10"/>
      <c r="B24" s="11" t="s">
        <v>20</v>
      </c>
      <c r="C24" s="11" t="str">
        <f t="shared" ref="C24:C25" si="3">_xlfn.TRANSLATE(B24,"de","en")</f>
        <v>Pupils can communicate via media and at the same time maintain the safety and
Follow rules of conduct.</v>
      </c>
      <c r="D24" s="12" t="s">
        <v>21</v>
      </c>
    </row>
    <row r="25" spans="1:4">
      <c r="A25" s="10"/>
      <c r="B25" s="11" t="s">
        <v>22</v>
      </c>
      <c r="C25" s="11" t="str">
        <f t="shared" si="3"/>
        <v>Students can use media specifically for cooperative learning.</v>
      </c>
      <c r="D25" s="12" t="s">
        <v>23</v>
      </c>
    </row>
    <row r="26" spans="1:4">
      <c r="A26" s="10"/>
      <c r="B26" s="11"/>
      <c r="C26" s="11"/>
      <c r="D26" s="12"/>
    </row>
    <row r="27" spans="1:4">
      <c r="A27" s="10"/>
      <c r="B27" s="11"/>
      <c r="C27" s="11"/>
      <c r="D27" s="12"/>
    </row>
    <row r="28" spans="1:4">
      <c r="A28" s="6" t="e">
        <f>#REF!</f>
        <v>#REF!</v>
      </c>
      <c r="B28" s="6"/>
      <c r="C28" s="15"/>
      <c r="D28" s="7"/>
    </row>
    <row r="29" spans="1:4">
      <c r="A29" s="8" t="e">
        <f>#REF!</f>
        <v>#REF!</v>
      </c>
      <c r="B29" s="8"/>
      <c r="C29" s="16"/>
      <c r="D29" s="9"/>
    </row>
    <row r="30" spans="1:4" ht="23.25">
      <c r="A30" s="10"/>
      <c r="B30" s="11" t="s">
        <v>24</v>
      </c>
      <c r="C30" s="11" t="str">
        <f t="shared" ref="C30:C34" si="4">_xlfn.TRANSLATE(B30,"de","en")</f>
        <v>Students recognize and use tree and network structures (e.g.
Folder structure on the computer, family tree, mind map, website).</v>
      </c>
      <c r="D30" s="12" t="s">
        <v>25</v>
      </c>
    </row>
    <row r="31" spans="1:4" ht="23.25">
      <c r="A31" s="10"/>
      <c r="B31" s="11" t="s">
        <v>26</v>
      </c>
      <c r="C31" s="11" t="str">
        <f t="shared" si="4"/>
        <v>Pupils understand the functioning of error-detecting and
corrective codes.</v>
      </c>
      <c r="D31" s="12" t="s">
        <v>27</v>
      </c>
    </row>
    <row r="32" spans="1:4">
      <c r="A32" s="10"/>
      <c r="B32" s="11" t="s">
        <v>28</v>
      </c>
      <c r="C32" s="11" t="str">
        <f t="shared" si="4"/>
        <v>Students can store documents in such a way that others can find them again.</v>
      </c>
      <c r="D32" s="12" t="s">
        <v>29</v>
      </c>
    </row>
    <row r="33" spans="1:4">
      <c r="A33" s="10"/>
      <c r="B33" s="11" t="s">
        <v>30</v>
      </c>
      <c r="C33" s="11" t="str">
        <f t="shared" si="4"/>
        <v>Students can use logical operators (and, or, not).</v>
      </c>
      <c r="D33" s="12" t="s">
        <v>31</v>
      </c>
    </row>
    <row r="34" spans="1:4" ht="23.25">
      <c r="A34" s="10"/>
      <c r="B34" s="11" t="s">
        <v>32</v>
      </c>
      <c r="C34" s="11" t="str">
        <f t="shared" si="4"/>
        <v>Students can structure, record, search for data in a database
and automatically evaluate.</v>
      </c>
      <c r="D34" s="12" t="s">
        <v>33</v>
      </c>
    </row>
    <row r="35" spans="1:4">
      <c r="A35" s="10"/>
      <c r="B35" s="11"/>
      <c r="C35" s="11"/>
      <c r="D35" s="12"/>
    </row>
    <row r="36" spans="1:4">
      <c r="A36" s="10"/>
      <c r="B36" s="11"/>
      <c r="C36" s="11"/>
      <c r="D36" s="12"/>
    </row>
    <row r="37" spans="1:4">
      <c r="A37" s="8" t="e">
        <f>#REF!</f>
        <v>#REF!</v>
      </c>
      <c r="B37" s="8"/>
      <c r="C37" s="16"/>
      <c r="D37" s="9"/>
    </row>
    <row r="38" spans="1:4" ht="35.25">
      <c r="A38" s="10"/>
      <c r="B38" s="11" t="s">
        <v>34</v>
      </c>
      <c r="C38" s="11" t="str">
        <f t="shared" ref="C38:C39" si="5">_xlfn.TRANSLATE(B38,"de","en")</f>
        <v>Students can find self-discovered solutions to simple problems in the form of
of executable and correct computer programs with loops,
instructions and parameters.</v>
      </c>
      <c r="D38" s="12" t="s">
        <v>35</v>
      </c>
    </row>
    <row r="39" spans="1:4" ht="35.25">
      <c r="A39" s="10"/>
      <c r="B39" s="11" t="s">
        <v>36</v>
      </c>
      <c r="C39" s="11" t="str">
        <f t="shared" si="5"/>
        <v>Students can use self-developed algorithms in the form of executable and
correct computer programs with variables and subroutines
formulate.</v>
      </c>
      <c r="D39" s="12" t="s">
        <v>37</v>
      </c>
    </row>
    <row r="40" spans="1:4">
      <c r="A40" s="10"/>
      <c r="B40" s="11"/>
      <c r="C40" s="11"/>
      <c r="D40" s="12"/>
    </row>
    <row r="41" spans="1:4">
      <c r="A41" s="10"/>
      <c r="B41" s="11"/>
      <c r="C41" s="11"/>
      <c r="D41" s="12"/>
    </row>
    <row r="42" spans="1:4">
      <c r="A42" s="10"/>
      <c r="B42" s="11"/>
      <c r="C42" s="11"/>
      <c r="D42" s="12"/>
    </row>
    <row r="43" spans="1:4">
      <c r="A43" s="10"/>
      <c r="B43" s="11"/>
      <c r="C43" s="11"/>
      <c r="D43" s="12"/>
    </row>
    <row r="44" spans="1:4">
      <c r="A44" s="8" t="e">
        <f>#REF!</f>
        <v>#REF!</v>
      </c>
      <c r="B44" s="8"/>
      <c r="C44" s="16"/>
      <c r="D44" s="9"/>
    </row>
    <row r="45" spans="1:4">
      <c r="A45" s="10"/>
      <c r="B45" s="11" t="s">
        <v>38</v>
      </c>
      <c r="C45" s="11" t="str">
        <f t="shared" ref="C45:C50" si="6">_xlfn.TRANSLATE(B45,"de","en")</f>
        <v>Students understand the basic functioning of search engines.</v>
      </c>
      <c r="D45" s="12" t="s">
        <v>39</v>
      </c>
    </row>
    <row r="46" spans="1:4" ht="23.25">
      <c r="A46" s="10"/>
      <c r="B46" s="11" t="s">
        <v>40</v>
      </c>
      <c r="C46" s="11" t="str">
        <f t="shared" si="6"/>
        <v>Students can use local devices, local network and the Internet as
Distinguish between storage locations for private and public data.</v>
      </c>
      <c r="D46" s="12" t="s">
        <v>41</v>
      </c>
    </row>
    <row r="47" spans="1:4" ht="46.5">
      <c r="A47" s="10"/>
      <c r="B47" s="11" t="s">
        <v>42</v>
      </c>
      <c r="C47" s="11" t="str">
        <f t="shared" si="6"/>
        <v>Students have an idea of the performance units
information processing systems and can assess their relevance for
specific applications (e.g. storage capacity, image resolution,
computing capacity, data transfer rate).</v>
      </c>
      <c r="D47" s="12" t="s">
        <v>43</v>
      </c>
    </row>
    <row r="48" spans="1:4" ht="46.5">
      <c r="A48" s="10"/>
      <c r="B48" s="11" t="s">
        <v>44</v>
      </c>
      <c r="C48" s="11" t="str">
        <f t="shared" si="6"/>
        <v>Students know the essential input, processing and
output elements of IT systems and can be used to
corresponding functions of living organisms (sensor, processor,
Actuator and Memory).</v>
      </c>
      <c r="D48" s="12" t="s">
        <v>45</v>
      </c>
    </row>
    <row r="49" spans="1:4" ht="23.25">
      <c r="A49" s="10"/>
      <c r="B49" s="11" t="s">
        <v>46</v>
      </c>
      <c r="C49" s="11" t="str">
        <f t="shared" si="6"/>
        <v>Pupils can use the Internet as an infrastructure from its services
(e.g. WWW, e-mail, Internet telephony, social networks).</v>
      </c>
      <c r="D49" s="12" t="s">
        <v>47</v>
      </c>
    </row>
    <row r="50" spans="1:4">
      <c r="A50" s="10"/>
      <c r="B50" s="11" t="s">
        <v>48</v>
      </c>
      <c r="C50" s="11" t="str">
        <f t="shared" si="6"/>
        <v>Students can write with the keyboard.</v>
      </c>
      <c r="D50" s="12" t="s">
        <v>49</v>
      </c>
    </row>
    <row r="51" spans="1:4">
      <c r="A51" s="10"/>
      <c r="B51" s="11"/>
      <c r="C51" s="11"/>
      <c r="D51" s="12"/>
    </row>
    <row r="52" spans="1:4">
      <c r="A52" s="6" t="e">
        <f>#REF!</f>
        <v>#REF!</v>
      </c>
      <c r="B52" s="6"/>
      <c r="C52" s="15"/>
      <c r="D52" s="7"/>
    </row>
    <row r="53" spans="1:4">
      <c r="A53" s="8" t="e">
        <f>#REF!</f>
        <v>#REF!</v>
      </c>
      <c r="B53" s="8"/>
      <c r="C53" s="16"/>
      <c r="D53" s="9"/>
    </row>
    <row r="54" spans="1:4">
      <c r="A54" s="10"/>
      <c r="B54" s="11"/>
      <c r="C54" s="11"/>
      <c r="D54" s="12"/>
    </row>
    <row r="55" spans="1:4">
      <c r="A55" s="10"/>
      <c r="B55" s="11"/>
      <c r="C55" s="11"/>
      <c r="D55" s="12"/>
    </row>
    <row r="56" spans="1:4">
      <c r="A56" s="10"/>
      <c r="B56" s="11"/>
      <c r="C56" s="11"/>
      <c r="D56" s="12"/>
    </row>
    <row r="57" spans="1:4">
      <c r="A57" s="8" t="e">
        <f>#REF!</f>
        <v>#REF!</v>
      </c>
      <c r="B57" s="8"/>
      <c r="C57" s="16"/>
      <c r="D57" s="9"/>
    </row>
    <row r="58" spans="1:4" ht="35.25">
      <c r="A58" s="10"/>
      <c r="B58" s="11" t="s">
        <v>50</v>
      </c>
      <c r="C58" s="11" t="str">
        <f>_xlfn.TRANSLATE(B58,"de","en")</f>
        <v>Students can use devices and programs in a targeted manner and use them to create,
Editing and designing texts, tables, presentations,
diagrams, images, sounds, videos and algorithms.</v>
      </c>
      <c r="D58" s="12" t="s">
        <v>51</v>
      </c>
    </row>
    <row r="59" spans="1:4" ht="35.25">
      <c r="A59" s="10"/>
      <c r="B59" s="11" t="s">
        <v>52</v>
      </c>
      <c r="C59" s="11" t="str">
        <f t="shared" ref="C59:C60" si="7">_xlfn.TRANSLATE(B59,"de","en")</f>
        <v>Students can use media and program functions for content and
formal revision of texts (e.g. dictionary, proofreading and
revision functions, Internet).</v>
      </c>
      <c r="D59" s="12" t="s">
        <v>53</v>
      </c>
    </row>
    <row r="60" spans="1:4" ht="23.25">
      <c r="A60" s="10"/>
      <c r="B60" s="11" t="s">
        <v>54</v>
      </c>
      <c r="C60" s="11" t="str">
        <f t="shared" si="7"/>
        <v>Students can use templates in programs (e.g. word processing,
Presentations, spreadsheets).</v>
      </c>
      <c r="D60" s="12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58afa4-67ff-4171-a383-bebf2a2641f4">
      <Terms xmlns="http://schemas.microsoft.com/office/infopath/2007/PartnerControls"/>
    </lcf76f155ced4ddcb4097134ff3c332f>
    <TaxCatchAll xmlns="3b2eb61d-05e4-4178-981c-12562edb36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8451D9C03EA3419251E6322C22A3C4" ma:contentTypeVersion="11" ma:contentTypeDescription="Create a new document." ma:contentTypeScope="" ma:versionID="47c0027945cf932be5aa68b3cb1390f1">
  <xsd:schema xmlns:xsd="http://www.w3.org/2001/XMLSchema" xmlns:xs="http://www.w3.org/2001/XMLSchema" xmlns:p="http://schemas.microsoft.com/office/2006/metadata/properties" xmlns:ns2="4c58afa4-67ff-4171-a383-bebf2a2641f4" xmlns:ns3="3b2eb61d-05e4-4178-981c-12562edb3660" targetNamespace="http://schemas.microsoft.com/office/2006/metadata/properties" ma:root="true" ma:fieldsID="c27eaa1adcf0e7fbe711e2227052f94c" ns2:_="" ns3:_="">
    <xsd:import namespace="4c58afa4-67ff-4171-a383-bebf2a2641f4"/>
    <xsd:import namespace="3b2eb61d-05e4-4178-981c-12562edb36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58afa4-67ff-4171-a383-bebf2a2641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eb61d-05e4-4178-981c-12562edb366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0a7235-3eaa-44a7-a2f6-ceadfa94d767}" ma:internalName="TaxCatchAll" ma:showField="CatchAllData" ma:web="3b2eb61d-05e4-4178-981c-12562edb36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DD73D3-F1CB-4B5F-9981-B812CE325826}"/>
</file>

<file path=customXml/itemProps2.xml><?xml version="1.0" encoding="utf-8"?>
<ds:datastoreItem xmlns:ds="http://schemas.openxmlformats.org/officeDocument/2006/customXml" ds:itemID="{0DB923E1-E4EC-44DE-8890-9D219A51D00C}"/>
</file>

<file path=customXml/itemProps3.xml><?xml version="1.0" encoding="utf-8"?>
<ds:datastoreItem xmlns:ds="http://schemas.openxmlformats.org/officeDocument/2006/customXml" ds:itemID="{BC3EAC80-D244-4714-8C84-B599F73444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Orestis Bollano</cp:lastModifiedBy>
  <cp:revision/>
  <dcterms:created xsi:type="dcterms:W3CDTF">2025-11-14T09:55:00Z</dcterms:created>
  <dcterms:modified xsi:type="dcterms:W3CDTF">2025-11-15T11:09:23Z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0x010100F68451D9C03EA3419251E6322C22A3C4</vt:lpwstr>
  </property>
  <property fmtid="{D5CDD505-2E9C-101B-9397-08002B2CF9AE}" pid="3" name="MediaServiceImageTags">
    <vt:lpwstr/>
  </property>
</Properties>
</file>